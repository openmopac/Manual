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chartsheets/sheet2.xml" ContentType="application/vnd.openxmlformats-officedocument.spreadsheetml.chartsheet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autoCompressPictures="0"/>
  <bookViews>
    <workbookView xWindow="5070" yWindow="2295" windowWidth="19185" windowHeight="8670" firstSheet="2" activeTab="2"/>
  </bookViews>
  <sheets>
    <sheet name="Plot Heat versus Assay" sheetId="8" state="hidden" r:id="rId1"/>
    <sheet name="Plot Energy versus IC50" sheetId="10" state="hidden" r:id="rId2"/>
    <sheet name="Individual energies" sheetId="11" r:id="rId3"/>
  </sheets>
  <calcPr calcId="125725"/>
</workbook>
</file>

<file path=xl/calcChain.xml><?xml version="1.0" encoding="utf-8"?>
<calcChain xmlns="http://schemas.openxmlformats.org/spreadsheetml/2006/main">
  <c r="B17" i="11"/>
  <c r="H15" l="1"/>
  <c r="H13"/>
  <c r="H3"/>
  <c r="H14"/>
  <c r="H9"/>
  <c r="H4"/>
  <c r="H11"/>
  <c r="H6"/>
  <c r="H10"/>
  <c r="H5" l="1"/>
  <c r="H8"/>
  <c r="H7"/>
  <c r="H12"/>
  <c r="H2"/>
  <c r="H17" l="1"/>
  <c r="I4" l="1"/>
  <c r="I6"/>
  <c r="I15"/>
  <c r="I5"/>
  <c r="I11"/>
  <c r="I9"/>
  <c r="I13"/>
  <c r="I2"/>
  <c r="I12"/>
  <c r="I7"/>
  <c r="I14"/>
  <c r="I8"/>
  <c r="I10"/>
  <c r="I3"/>
  <c r="I17" l="1"/>
</calcChain>
</file>

<file path=xl/sharedStrings.xml><?xml version="1.0" encoding="utf-8"?>
<sst xmlns="http://schemas.openxmlformats.org/spreadsheetml/2006/main" count="22" uniqueCount="22">
  <si>
    <t>Mutated protein in protein-ligand geometry</t>
  </si>
  <si>
    <t>Mutation</t>
  </si>
  <si>
    <t>H163G</t>
  </si>
  <si>
    <t>Contribution to binding energy</t>
  </si>
  <si>
    <t>Protein in protein-ligand geometry</t>
  </si>
  <si>
    <t>N142G</t>
  </si>
  <si>
    <t>S144G</t>
  </si>
  <si>
    <t>S1G</t>
  </si>
  <si>
    <t>Residue</t>
  </si>
  <si>
    <t>T25G</t>
  </si>
  <si>
    <t>H41G</t>
  </si>
  <si>
    <t>C145G</t>
  </si>
  <si>
    <t>M165G</t>
  </si>
  <si>
    <t>Normalized contribution to binding energy</t>
  </si>
  <si>
    <t>E166G</t>
  </si>
  <si>
    <t xml:space="preserve"> Protein plus ligand 
CVD-0007756</t>
  </si>
  <si>
    <t xml:space="preserve"> Mutated Protein plus ligand 
CVD-0007756</t>
  </si>
  <si>
    <t>F140G</t>
  </si>
  <si>
    <t>Q189G</t>
  </si>
  <si>
    <t>L141G</t>
  </si>
  <si>
    <t>D187G</t>
  </si>
  <si>
    <t>N188G</t>
  </si>
</sst>
</file>

<file path=xl/styles.xml><?xml version="1.0" encoding="utf-8"?>
<styleSheet xmlns="http://schemas.openxmlformats.org/spreadsheetml/2006/main">
  <fonts count="30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.3"/>
      <color theme="10"/>
      <name val="Calibri"/>
      <family val="2"/>
    </font>
    <font>
      <b/>
      <u/>
      <sz val="14"/>
      <color theme="10"/>
      <name val="Calibri"/>
      <family val="2"/>
    </font>
    <font>
      <b/>
      <u/>
      <sz val="14"/>
      <color theme="11"/>
      <name val="Calibri"/>
      <family val="2"/>
    </font>
    <font>
      <b/>
      <sz val="14"/>
      <name val="Calibri"/>
      <family val="2"/>
      <scheme val="minor"/>
    </font>
    <font>
      <u/>
      <sz val="18.7"/>
      <color theme="10"/>
      <name val="Calibri"/>
      <family val="2"/>
    </font>
    <font>
      <b/>
      <sz val="14"/>
      <color rgb="FFFF0000"/>
      <name val="Calibri"/>
      <family val="2"/>
      <scheme val="minor"/>
    </font>
    <font>
      <sz val="14"/>
      <color rgb="FF00B05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</borders>
  <cellStyleXfs count="426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9" fillId="0" borderId="0"/>
    <xf numFmtId="0" fontId="19" fillId="0" borderId="0"/>
    <xf numFmtId="0" fontId="2" fillId="0" borderId="0"/>
    <xf numFmtId="0" fontId="22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3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14">
    <xf numFmtId="0" fontId="0" fillId="0" borderId="0" xfId="0"/>
    <xf numFmtId="0" fontId="26" fillId="0" borderId="10" xfId="0" applyFont="1" applyBorder="1" applyAlignment="1">
      <alignment horizontal="center" vertical="center" wrapText="1"/>
    </xf>
    <xf numFmtId="0" fontId="21" fillId="0" borderId="0" xfId="0" applyFont="1"/>
    <xf numFmtId="2" fontId="21" fillId="0" borderId="0" xfId="0" applyNumberFormat="1" applyFont="1" applyAlignment="1">
      <alignment horizontal="right" indent="1"/>
    </xf>
    <xf numFmtId="1" fontId="21" fillId="0" borderId="0" xfId="0" applyNumberFormat="1" applyFont="1" applyAlignment="1">
      <alignment horizontal="right" indent="1"/>
    </xf>
    <xf numFmtId="1" fontId="21" fillId="0" borderId="0" xfId="0" applyNumberFormat="1" applyFont="1"/>
    <xf numFmtId="2" fontId="20" fillId="0" borderId="0" xfId="0" applyNumberFormat="1" applyFont="1" applyAlignment="1">
      <alignment horizontal="right" vertical="center" indent="2"/>
    </xf>
    <xf numFmtId="2" fontId="20" fillId="0" borderId="0" xfId="0" applyNumberFormat="1" applyFont="1" applyFill="1" applyBorder="1" applyAlignment="1">
      <alignment horizontal="right" vertical="center" indent="2"/>
    </xf>
    <xf numFmtId="2" fontId="21" fillId="0" borderId="0" xfId="0" applyNumberFormat="1" applyFont="1" applyAlignment="1">
      <alignment horizontal="right" indent="2"/>
    </xf>
    <xf numFmtId="2" fontId="29" fillId="0" borderId="0" xfId="0" applyNumberFormat="1" applyFont="1" applyAlignment="1">
      <alignment horizontal="right" indent="1"/>
    </xf>
    <xf numFmtId="2" fontId="28" fillId="0" borderId="0" xfId="0" applyNumberFormat="1" applyFont="1" applyAlignment="1">
      <alignment horizontal="right" indent="1"/>
    </xf>
    <xf numFmtId="1" fontId="20" fillId="0" borderId="0" xfId="0" applyNumberFormat="1" applyFont="1" applyAlignment="1">
      <alignment horizontal="right" indent="1"/>
    </xf>
    <xf numFmtId="2" fontId="20" fillId="0" borderId="0" xfId="0" applyNumberFormat="1" applyFont="1" applyAlignment="1">
      <alignment horizontal="right" indent="1"/>
    </xf>
    <xf numFmtId="2" fontId="20" fillId="0" borderId="0" xfId="0" applyNumberFormat="1" applyFont="1" applyAlignment="1">
      <alignment horizontal="right" indent="2"/>
    </xf>
  </cellXfs>
  <cellStyles count="426">
    <cellStyle name="20% - Accent1" xfId="19" builtinId="30" customBuiltin="1"/>
    <cellStyle name="20% - Accent1 2" xfId="399"/>
    <cellStyle name="20% - Accent2" xfId="23" builtinId="34" customBuiltin="1"/>
    <cellStyle name="20% - Accent2 2" xfId="403"/>
    <cellStyle name="20% - Accent3" xfId="27" builtinId="38" customBuiltin="1"/>
    <cellStyle name="20% - Accent3 2" xfId="407"/>
    <cellStyle name="20% - Accent4" xfId="31" builtinId="42" customBuiltin="1"/>
    <cellStyle name="20% - Accent4 2" xfId="411"/>
    <cellStyle name="20% - Accent5" xfId="35" builtinId="46" customBuiltin="1"/>
    <cellStyle name="20% - Accent5 2" xfId="415"/>
    <cellStyle name="20% - Accent6" xfId="39" builtinId="50" customBuiltin="1"/>
    <cellStyle name="20% - Accent6 2" xfId="419"/>
    <cellStyle name="40% - Accent1" xfId="20" builtinId="31" customBuiltin="1"/>
    <cellStyle name="40% - Accent1 2" xfId="400"/>
    <cellStyle name="40% - Accent2" xfId="24" builtinId="35" customBuiltin="1"/>
    <cellStyle name="40% - Accent2 2" xfId="404"/>
    <cellStyle name="40% - Accent3" xfId="28" builtinId="39" customBuiltin="1"/>
    <cellStyle name="40% - Accent3 2" xfId="408"/>
    <cellStyle name="40% - Accent4" xfId="32" builtinId="43" customBuiltin="1"/>
    <cellStyle name="40% - Accent4 2" xfId="412"/>
    <cellStyle name="40% - Accent5" xfId="36" builtinId="47" customBuiltin="1"/>
    <cellStyle name="40% - Accent5 2" xfId="416"/>
    <cellStyle name="40% - Accent6" xfId="40" builtinId="51" customBuiltin="1"/>
    <cellStyle name="40% - Accent6 2" xfId="420"/>
    <cellStyle name="60% - Accent1" xfId="21" builtinId="32" customBuiltin="1"/>
    <cellStyle name="60% - Accent1 2" xfId="401"/>
    <cellStyle name="60% - Accent2" xfId="25" builtinId="36" customBuiltin="1"/>
    <cellStyle name="60% - Accent2 2" xfId="405"/>
    <cellStyle name="60% - Accent3" xfId="29" builtinId="40" customBuiltin="1"/>
    <cellStyle name="60% - Accent3 2" xfId="409"/>
    <cellStyle name="60% - Accent4" xfId="33" builtinId="44" customBuiltin="1"/>
    <cellStyle name="60% - Accent4 2" xfId="413"/>
    <cellStyle name="60% - Accent5" xfId="37" builtinId="48" customBuiltin="1"/>
    <cellStyle name="60% - Accent5 2" xfId="417"/>
    <cellStyle name="60% - Accent6" xfId="41" builtinId="52" customBuiltin="1"/>
    <cellStyle name="60% - Accent6 2" xfId="421"/>
    <cellStyle name="Accent1" xfId="18" builtinId="29" customBuiltin="1"/>
    <cellStyle name="Accent1 2" xfId="398"/>
    <cellStyle name="Accent2" xfId="22" builtinId="33" customBuiltin="1"/>
    <cellStyle name="Accent2 2" xfId="402"/>
    <cellStyle name="Accent3" xfId="26" builtinId="37" customBuiltin="1"/>
    <cellStyle name="Accent3 2" xfId="406"/>
    <cellStyle name="Accent4" xfId="30" builtinId="41" customBuiltin="1"/>
    <cellStyle name="Accent4 2" xfId="410"/>
    <cellStyle name="Accent5" xfId="34" builtinId="45" customBuiltin="1"/>
    <cellStyle name="Accent5 2" xfId="414"/>
    <cellStyle name="Accent6" xfId="38" builtinId="49" customBuiltin="1"/>
    <cellStyle name="Accent6 2" xfId="418"/>
    <cellStyle name="Bad" xfId="7" builtinId="27" customBuiltin="1"/>
    <cellStyle name="Bad 2" xfId="388"/>
    <cellStyle name="Calculation" xfId="11" builtinId="22" customBuiltin="1"/>
    <cellStyle name="Calculation 2" xfId="392"/>
    <cellStyle name="Check Cell" xfId="13" builtinId="23" customBuiltin="1"/>
    <cellStyle name="Check Cell 2" xfId="394"/>
    <cellStyle name="Explanatory Text" xfId="16" builtinId="53" customBuiltin="1"/>
    <cellStyle name="Explanatory Text 2" xfId="396"/>
    <cellStyle name="Followed Hyperlink" xfId="423" builtinId="9" customBuiltin="1"/>
    <cellStyle name="Good" xfId="6" builtinId="26" customBuiltin="1"/>
    <cellStyle name="Good 2" xfId="387"/>
    <cellStyle name="Heading 1" xfId="2" builtinId="16" customBuiltin="1"/>
    <cellStyle name="Heading 1 2" xfId="383"/>
    <cellStyle name="Heading 2" xfId="3" builtinId="17" customBuiltin="1"/>
    <cellStyle name="Heading 2 2" xfId="384"/>
    <cellStyle name="Heading 3" xfId="4" builtinId="18" customBuiltin="1"/>
    <cellStyle name="Heading 3 2" xfId="385"/>
    <cellStyle name="Heading 4" xfId="5" builtinId="19" customBuiltin="1"/>
    <cellStyle name="Heading 4 2" xfId="386"/>
    <cellStyle name="Hyperlink" xfId="422" builtinId="8" customBuiltin="1"/>
    <cellStyle name="Hyperlink 2" xfId="45"/>
    <cellStyle name="Hyperlink 3" xfId="366"/>
    <cellStyle name="Hyperlink 4" xfId="424"/>
    <cellStyle name="Input" xfId="9" builtinId="20" customBuiltin="1"/>
    <cellStyle name="Input 2" xfId="390"/>
    <cellStyle name="Linked Cell" xfId="12" builtinId="24" customBuiltin="1"/>
    <cellStyle name="Linked Cell 2" xfId="393"/>
    <cellStyle name="Neutral" xfId="8" builtinId="28" customBuiltin="1"/>
    <cellStyle name="Neutral 2" xfId="389"/>
    <cellStyle name="Normal" xfId="0" builtinId="0"/>
    <cellStyle name="Normal 2" xfId="43"/>
    <cellStyle name="Normal 3" xfId="44"/>
    <cellStyle name="Normal 3 10" xfId="205"/>
    <cellStyle name="Normal 3 11" xfId="365"/>
    <cellStyle name="Normal 3 2" xfId="46"/>
    <cellStyle name="Normal 3 2 10" xfId="367"/>
    <cellStyle name="Normal 3 2 2" xfId="48"/>
    <cellStyle name="Normal 3 2 2 2" xfId="52"/>
    <cellStyle name="Normal 3 2 2 2 2" xfId="60"/>
    <cellStyle name="Normal 3 2 2 2 2 2" xfId="76"/>
    <cellStyle name="Normal 3 2 2 2 2 2 2" xfId="108"/>
    <cellStyle name="Normal 3 2 2 2 2 2 2 2" xfId="204"/>
    <cellStyle name="Normal 3 2 2 2 2 2 2 2 2" xfId="364"/>
    <cellStyle name="Normal 3 2 2 2 2 2 2 3" xfId="268"/>
    <cellStyle name="Normal 3 2 2 2 2 2 3" xfId="172"/>
    <cellStyle name="Normal 3 2 2 2 2 2 3 2" xfId="332"/>
    <cellStyle name="Normal 3 2 2 2 2 2 4" xfId="140"/>
    <cellStyle name="Normal 3 2 2 2 2 2 4 2" xfId="300"/>
    <cellStyle name="Normal 3 2 2 2 2 2 5" xfId="236"/>
    <cellStyle name="Normal 3 2 2 2 2 3" xfId="92"/>
    <cellStyle name="Normal 3 2 2 2 2 3 2" xfId="188"/>
    <cellStyle name="Normal 3 2 2 2 2 3 2 2" xfId="348"/>
    <cellStyle name="Normal 3 2 2 2 2 3 3" xfId="252"/>
    <cellStyle name="Normal 3 2 2 2 2 4" xfId="156"/>
    <cellStyle name="Normal 3 2 2 2 2 4 2" xfId="316"/>
    <cellStyle name="Normal 3 2 2 2 2 5" xfId="124"/>
    <cellStyle name="Normal 3 2 2 2 2 5 2" xfId="284"/>
    <cellStyle name="Normal 3 2 2 2 2 6" xfId="220"/>
    <cellStyle name="Normal 3 2 2 2 2 7" xfId="381"/>
    <cellStyle name="Normal 3 2 2 2 3" xfId="68"/>
    <cellStyle name="Normal 3 2 2 2 3 2" xfId="100"/>
    <cellStyle name="Normal 3 2 2 2 3 2 2" xfId="196"/>
    <cellStyle name="Normal 3 2 2 2 3 2 2 2" xfId="356"/>
    <cellStyle name="Normal 3 2 2 2 3 2 3" xfId="260"/>
    <cellStyle name="Normal 3 2 2 2 3 3" xfId="164"/>
    <cellStyle name="Normal 3 2 2 2 3 3 2" xfId="324"/>
    <cellStyle name="Normal 3 2 2 2 3 4" xfId="132"/>
    <cellStyle name="Normal 3 2 2 2 3 4 2" xfId="292"/>
    <cellStyle name="Normal 3 2 2 2 3 5" xfId="228"/>
    <cellStyle name="Normal 3 2 2 2 4" xfId="84"/>
    <cellStyle name="Normal 3 2 2 2 4 2" xfId="180"/>
    <cellStyle name="Normal 3 2 2 2 4 2 2" xfId="340"/>
    <cellStyle name="Normal 3 2 2 2 4 3" xfId="244"/>
    <cellStyle name="Normal 3 2 2 2 5" xfId="148"/>
    <cellStyle name="Normal 3 2 2 2 5 2" xfId="308"/>
    <cellStyle name="Normal 3 2 2 2 6" xfId="116"/>
    <cellStyle name="Normal 3 2 2 2 6 2" xfId="276"/>
    <cellStyle name="Normal 3 2 2 2 7" xfId="212"/>
    <cellStyle name="Normal 3 2 2 2 8" xfId="373"/>
    <cellStyle name="Normal 3 2 2 3" xfId="56"/>
    <cellStyle name="Normal 3 2 2 3 2" xfId="72"/>
    <cellStyle name="Normal 3 2 2 3 2 2" xfId="104"/>
    <cellStyle name="Normal 3 2 2 3 2 2 2" xfId="200"/>
    <cellStyle name="Normal 3 2 2 3 2 2 2 2" xfId="360"/>
    <cellStyle name="Normal 3 2 2 3 2 2 3" xfId="264"/>
    <cellStyle name="Normal 3 2 2 3 2 3" xfId="168"/>
    <cellStyle name="Normal 3 2 2 3 2 3 2" xfId="328"/>
    <cellStyle name="Normal 3 2 2 3 2 4" xfId="136"/>
    <cellStyle name="Normal 3 2 2 3 2 4 2" xfId="296"/>
    <cellStyle name="Normal 3 2 2 3 2 5" xfId="232"/>
    <cellStyle name="Normal 3 2 2 3 3" xfId="88"/>
    <cellStyle name="Normal 3 2 2 3 3 2" xfId="184"/>
    <cellStyle name="Normal 3 2 2 3 3 2 2" xfId="344"/>
    <cellStyle name="Normal 3 2 2 3 3 3" xfId="248"/>
    <cellStyle name="Normal 3 2 2 3 4" xfId="152"/>
    <cellStyle name="Normal 3 2 2 3 4 2" xfId="312"/>
    <cellStyle name="Normal 3 2 2 3 5" xfId="120"/>
    <cellStyle name="Normal 3 2 2 3 5 2" xfId="280"/>
    <cellStyle name="Normal 3 2 2 3 6" xfId="216"/>
    <cellStyle name="Normal 3 2 2 3 7" xfId="377"/>
    <cellStyle name="Normal 3 2 2 4" xfId="64"/>
    <cellStyle name="Normal 3 2 2 4 2" xfId="96"/>
    <cellStyle name="Normal 3 2 2 4 2 2" xfId="192"/>
    <cellStyle name="Normal 3 2 2 4 2 2 2" xfId="352"/>
    <cellStyle name="Normal 3 2 2 4 2 3" xfId="256"/>
    <cellStyle name="Normal 3 2 2 4 3" xfId="160"/>
    <cellStyle name="Normal 3 2 2 4 3 2" xfId="320"/>
    <cellStyle name="Normal 3 2 2 4 4" xfId="128"/>
    <cellStyle name="Normal 3 2 2 4 4 2" xfId="288"/>
    <cellStyle name="Normal 3 2 2 4 5" xfId="224"/>
    <cellStyle name="Normal 3 2 2 5" xfId="80"/>
    <cellStyle name="Normal 3 2 2 5 2" xfId="176"/>
    <cellStyle name="Normal 3 2 2 5 2 2" xfId="336"/>
    <cellStyle name="Normal 3 2 2 5 3" xfId="240"/>
    <cellStyle name="Normal 3 2 2 6" xfId="144"/>
    <cellStyle name="Normal 3 2 2 6 2" xfId="304"/>
    <cellStyle name="Normal 3 2 2 7" xfId="112"/>
    <cellStyle name="Normal 3 2 2 7 2" xfId="272"/>
    <cellStyle name="Normal 3 2 2 8" xfId="208"/>
    <cellStyle name="Normal 3 2 2 9" xfId="369"/>
    <cellStyle name="Normal 3 2 3" xfId="50"/>
    <cellStyle name="Normal 3 2 3 2" xfId="58"/>
    <cellStyle name="Normal 3 2 3 2 2" xfId="74"/>
    <cellStyle name="Normal 3 2 3 2 2 2" xfId="106"/>
    <cellStyle name="Normal 3 2 3 2 2 2 2" xfId="202"/>
    <cellStyle name="Normal 3 2 3 2 2 2 2 2" xfId="362"/>
    <cellStyle name="Normal 3 2 3 2 2 2 3" xfId="266"/>
    <cellStyle name="Normal 3 2 3 2 2 3" xfId="170"/>
    <cellStyle name="Normal 3 2 3 2 2 3 2" xfId="330"/>
    <cellStyle name="Normal 3 2 3 2 2 4" xfId="138"/>
    <cellStyle name="Normal 3 2 3 2 2 4 2" xfId="298"/>
    <cellStyle name="Normal 3 2 3 2 2 5" xfId="234"/>
    <cellStyle name="Normal 3 2 3 2 3" xfId="90"/>
    <cellStyle name="Normal 3 2 3 2 3 2" xfId="186"/>
    <cellStyle name="Normal 3 2 3 2 3 2 2" xfId="346"/>
    <cellStyle name="Normal 3 2 3 2 3 3" xfId="250"/>
    <cellStyle name="Normal 3 2 3 2 4" xfId="154"/>
    <cellStyle name="Normal 3 2 3 2 4 2" xfId="314"/>
    <cellStyle name="Normal 3 2 3 2 5" xfId="122"/>
    <cellStyle name="Normal 3 2 3 2 5 2" xfId="282"/>
    <cellStyle name="Normal 3 2 3 2 6" xfId="218"/>
    <cellStyle name="Normal 3 2 3 2 7" xfId="379"/>
    <cellStyle name="Normal 3 2 3 3" xfId="66"/>
    <cellStyle name="Normal 3 2 3 3 2" xfId="98"/>
    <cellStyle name="Normal 3 2 3 3 2 2" xfId="194"/>
    <cellStyle name="Normal 3 2 3 3 2 2 2" xfId="354"/>
    <cellStyle name="Normal 3 2 3 3 2 3" xfId="258"/>
    <cellStyle name="Normal 3 2 3 3 3" xfId="162"/>
    <cellStyle name="Normal 3 2 3 3 3 2" xfId="322"/>
    <cellStyle name="Normal 3 2 3 3 4" xfId="130"/>
    <cellStyle name="Normal 3 2 3 3 4 2" xfId="290"/>
    <cellStyle name="Normal 3 2 3 3 5" xfId="226"/>
    <cellStyle name="Normal 3 2 3 4" xfId="82"/>
    <cellStyle name="Normal 3 2 3 4 2" xfId="178"/>
    <cellStyle name="Normal 3 2 3 4 2 2" xfId="338"/>
    <cellStyle name="Normal 3 2 3 4 3" xfId="242"/>
    <cellStyle name="Normal 3 2 3 5" xfId="146"/>
    <cellStyle name="Normal 3 2 3 5 2" xfId="306"/>
    <cellStyle name="Normal 3 2 3 6" xfId="114"/>
    <cellStyle name="Normal 3 2 3 6 2" xfId="274"/>
    <cellStyle name="Normal 3 2 3 7" xfId="210"/>
    <cellStyle name="Normal 3 2 3 8" xfId="371"/>
    <cellStyle name="Normal 3 2 4" xfId="54"/>
    <cellStyle name="Normal 3 2 4 2" xfId="70"/>
    <cellStyle name="Normal 3 2 4 2 2" xfId="102"/>
    <cellStyle name="Normal 3 2 4 2 2 2" xfId="198"/>
    <cellStyle name="Normal 3 2 4 2 2 2 2" xfId="358"/>
    <cellStyle name="Normal 3 2 4 2 2 3" xfId="262"/>
    <cellStyle name="Normal 3 2 4 2 3" xfId="166"/>
    <cellStyle name="Normal 3 2 4 2 3 2" xfId="326"/>
    <cellStyle name="Normal 3 2 4 2 4" xfId="134"/>
    <cellStyle name="Normal 3 2 4 2 4 2" xfId="294"/>
    <cellStyle name="Normal 3 2 4 2 5" xfId="230"/>
    <cellStyle name="Normal 3 2 4 3" xfId="86"/>
    <cellStyle name="Normal 3 2 4 3 2" xfId="182"/>
    <cellStyle name="Normal 3 2 4 3 2 2" xfId="342"/>
    <cellStyle name="Normal 3 2 4 3 3" xfId="246"/>
    <cellStyle name="Normal 3 2 4 4" xfId="150"/>
    <cellStyle name="Normal 3 2 4 4 2" xfId="310"/>
    <cellStyle name="Normal 3 2 4 5" xfId="118"/>
    <cellStyle name="Normal 3 2 4 5 2" xfId="278"/>
    <cellStyle name="Normal 3 2 4 6" xfId="214"/>
    <cellStyle name="Normal 3 2 4 7" xfId="375"/>
    <cellStyle name="Normal 3 2 5" xfId="62"/>
    <cellStyle name="Normal 3 2 5 2" xfId="94"/>
    <cellStyle name="Normal 3 2 5 2 2" xfId="190"/>
    <cellStyle name="Normal 3 2 5 2 2 2" xfId="350"/>
    <cellStyle name="Normal 3 2 5 2 3" xfId="254"/>
    <cellStyle name="Normal 3 2 5 3" xfId="158"/>
    <cellStyle name="Normal 3 2 5 3 2" xfId="318"/>
    <cellStyle name="Normal 3 2 5 4" xfId="126"/>
    <cellStyle name="Normal 3 2 5 4 2" xfId="286"/>
    <cellStyle name="Normal 3 2 5 5" xfId="222"/>
    <cellStyle name="Normal 3 2 6" xfId="78"/>
    <cellStyle name="Normal 3 2 6 2" xfId="174"/>
    <cellStyle name="Normal 3 2 6 2 2" xfId="334"/>
    <cellStyle name="Normal 3 2 6 3" xfId="238"/>
    <cellStyle name="Normal 3 2 7" xfId="142"/>
    <cellStyle name="Normal 3 2 7 2" xfId="302"/>
    <cellStyle name="Normal 3 2 8" xfId="110"/>
    <cellStyle name="Normal 3 2 8 2" xfId="270"/>
    <cellStyle name="Normal 3 2 9" xfId="206"/>
    <cellStyle name="Normal 3 3" xfId="47"/>
    <cellStyle name="Normal 3 3 2" xfId="51"/>
    <cellStyle name="Normal 3 3 2 2" xfId="59"/>
    <cellStyle name="Normal 3 3 2 2 2" xfId="75"/>
    <cellStyle name="Normal 3 3 2 2 2 2" xfId="107"/>
    <cellStyle name="Normal 3 3 2 2 2 2 2" xfId="203"/>
    <cellStyle name="Normal 3 3 2 2 2 2 2 2" xfId="363"/>
    <cellStyle name="Normal 3 3 2 2 2 2 3" xfId="267"/>
    <cellStyle name="Normal 3 3 2 2 2 3" xfId="171"/>
    <cellStyle name="Normal 3 3 2 2 2 3 2" xfId="331"/>
    <cellStyle name="Normal 3 3 2 2 2 4" xfId="139"/>
    <cellStyle name="Normal 3 3 2 2 2 4 2" xfId="299"/>
    <cellStyle name="Normal 3 3 2 2 2 5" xfId="235"/>
    <cellStyle name="Normal 3 3 2 2 3" xfId="91"/>
    <cellStyle name="Normal 3 3 2 2 3 2" xfId="187"/>
    <cellStyle name="Normal 3 3 2 2 3 2 2" xfId="347"/>
    <cellStyle name="Normal 3 3 2 2 3 3" xfId="251"/>
    <cellStyle name="Normal 3 3 2 2 4" xfId="155"/>
    <cellStyle name="Normal 3 3 2 2 4 2" xfId="315"/>
    <cellStyle name="Normal 3 3 2 2 5" xfId="123"/>
    <cellStyle name="Normal 3 3 2 2 5 2" xfId="283"/>
    <cellStyle name="Normal 3 3 2 2 6" xfId="219"/>
    <cellStyle name="Normal 3 3 2 2 7" xfId="380"/>
    <cellStyle name="Normal 3 3 2 3" xfId="67"/>
    <cellStyle name="Normal 3 3 2 3 2" xfId="99"/>
    <cellStyle name="Normal 3 3 2 3 2 2" xfId="195"/>
    <cellStyle name="Normal 3 3 2 3 2 2 2" xfId="355"/>
    <cellStyle name="Normal 3 3 2 3 2 3" xfId="259"/>
    <cellStyle name="Normal 3 3 2 3 3" xfId="163"/>
    <cellStyle name="Normal 3 3 2 3 3 2" xfId="323"/>
    <cellStyle name="Normal 3 3 2 3 4" xfId="131"/>
    <cellStyle name="Normal 3 3 2 3 4 2" xfId="291"/>
    <cellStyle name="Normal 3 3 2 3 5" xfId="227"/>
    <cellStyle name="Normal 3 3 2 4" xfId="83"/>
    <cellStyle name="Normal 3 3 2 4 2" xfId="179"/>
    <cellStyle name="Normal 3 3 2 4 2 2" xfId="339"/>
    <cellStyle name="Normal 3 3 2 4 3" xfId="243"/>
    <cellStyle name="Normal 3 3 2 5" xfId="147"/>
    <cellStyle name="Normal 3 3 2 5 2" xfId="307"/>
    <cellStyle name="Normal 3 3 2 6" xfId="115"/>
    <cellStyle name="Normal 3 3 2 6 2" xfId="275"/>
    <cellStyle name="Normal 3 3 2 7" xfId="211"/>
    <cellStyle name="Normal 3 3 2 8" xfId="372"/>
    <cellStyle name="Normal 3 3 3" xfId="55"/>
    <cellStyle name="Normal 3 3 3 2" xfId="71"/>
    <cellStyle name="Normal 3 3 3 2 2" xfId="103"/>
    <cellStyle name="Normal 3 3 3 2 2 2" xfId="199"/>
    <cellStyle name="Normal 3 3 3 2 2 2 2" xfId="359"/>
    <cellStyle name="Normal 3 3 3 2 2 3" xfId="263"/>
    <cellStyle name="Normal 3 3 3 2 3" xfId="167"/>
    <cellStyle name="Normal 3 3 3 2 3 2" xfId="327"/>
    <cellStyle name="Normal 3 3 3 2 4" xfId="135"/>
    <cellStyle name="Normal 3 3 3 2 4 2" xfId="295"/>
    <cellStyle name="Normal 3 3 3 2 5" xfId="231"/>
    <cellStyle name="Normal 3 3 3 3" xfId="87"/>
    <cellStyle name="Normal 3 3 3 3 2" xfId="183"/>
    <cellStyle name="Normal 3 3 3 3 2 2" xfId="343"/>
    <cellStyle name="Normal 3 3 3 3 3" xfId="247"/>
    <cellStyle name="Normal 3 3 3 4" xfId="151"/>
    <cellStyle name="Normal 3 3 3 4 2" xfId="311"/>
    <cellStyle name="Normal 3 3 3 5" xfId="119"/>
    <cellStyle name="Normal 3 3 3 5 2" xfId="279"/>
    <cellStyle name="Normal 3 3 3 6" xfId="215"/>
    <cellStyle name="Normal 3 3 3 7" xfId="376"/>
    <cellStyle name="Normal 3 3 4" xfId="63"/>
    <cellStyle name="Normal 3 3 4 2" xfId="95"/>
    <cellStyle name="Normal 3 3 4 2 2" xfId="191"/>
    <cellStyle name="Normal 3 3 4 2 2 2" xfId="351"/>
    <cellStyle name="Normal 3 3 4 2 3" xfId="255"/>
    <cellStyle name="Normal 3 3 4 3" xfId="159"/>
    <cellStyle name="Normal 3 3 4 3 2" xfId="319"/>
    <cellStyle name="Normal 3 3 4 4" xfId="127"/>
    <cellStyle name="Normal 3 3 4 4 2" xfId="287"/>
    <cellStyle name="Normal 3 3 4 5" xfId="223"/>
    <cellStyle name="Normal 3 3 5" xfId="79"/>
    <cellStyle name="Normal 3 3 5 2" xfId="175"/>
    <cellStyle name="Normal 3 3 5 2 2" xfId="335"/>
    <cellStyle name="Normal 3 3 5 3" xfId="239"/>
    <cellStyle name="Normal 3 3 6" xfId="143"/>
    <cellStyle name="Normal 3 3 6 2" xfId="303"/>
    <cellStyle name="Normal 3 3 7" xfId="111"/>
    <cellStyle name="Normal 3 3 7 2" xfId="271"/>
    <cellStyle name="Normal 3 3 8" xfId="207"/>
    <cellStyle name="Normal 3 3 9" xfId="368"/>
    <cellStyle name="Normal 3 4" xfId="49"/>
    <cellStyle name="Normal 3 4 2" xfId="57"/>
    <cellStyle name="Normal 3 4 2 2" xfId="73"/>
    <cellStyle name="Normal 3 4 2 2 2" xfId="105"/>
    <cellStyle name="Normal 3 4 2 2 2 2" xfId="201"/>
    <cellStyle name="Normal 3 4 2 2 2 2 2" xfId="361"/>
    <cellStyle name="Normal 3 4 2 2 2 3" xfId="265"/>
    <cellStyle name="Normal 3 4 2 2 3" xfId="169"/>
    <cellStyle name="Normal 3 4 2 2 3 2" xfId="329"/>
    <cellStyle name="Normal 3 4 2 2 4" xfId="137"/>
    <cellStyle name="Normal 3 4 2 2 4 2" xfId="297"/>
    <cellStyle name="Normal 3 4 2 2 5" xfId="233"/>
    <cellStyle name="Normal 3 4 2 3" xfId="89"/>
    <cellStyle name="Normal 3 4 2 3 2" xfId="185"/>
    <cellStyle name="Normal 3 4 2 3 2 2" xfId="345"/>
    <cellStyle name="Normal 3 4 2 3 3" xfId="249"/>
    <cellStyle name="Normal 3 4 2 4" xfId="153"/>
    <cellStyle name="Normal 3 4 2 4 2" xfId="313"/>
    <cellStyle name="Normal 3 4 2 5" xfId="121"/>
    <cellStyle name="Normal 3 4 2 5 2" xfId="281"/>
    <cellStyle name="Normal 3 4 2 6" xfId="217"/>
    <cellStyle name="Normal 3 4 2 7" xfId="378"/>
    <cellStyle name="Normal 3 4 3" xfId="65"/>
    <cellStyle name="Normal 3 4 3 2" xfId="97"/>
    <cellStyle name="Normal 3 4 3 2 2" xfId="193"/>
    <cellStyle name="Normal 3 4 3 2 2 2" xfId="353"/>
    <cellStyle name="Normal 3 4 3 2 3" xfId="257"/>
    <cellStyle name="Normal 3 4 3 3" xfId="161"/>
    <cellStyle name="Normal 3 4 3 3 2" xfId="321"/>
    <cellStyle name="Normal 3 4 3 4" xfId="129"/>
    <cellStyle name="Normal 3 4 3 4 2" xfId="289"/>
    <cellStyle name="Normal 3 4 3 5" xfId="225"/>
    <cellStyle name="Normal 3 4 4" xfId="81"/>
    <cellStyle name="Normal 3 4 4 2" xfId="177"/>
    <cellStyle name="Normal 3 4 4 2 2" xfId="337"/>
    <cellStyle name="Normal 3 4 4 3" xfId="241"/>
    <cellStyle name="Normal 3 4 5" xfId="145"/>
    <cellStyle name="Normal 3 4 5 2" xfId="305"/>
    <cellStyle name="Normal 3 4 6" xfId="113"/>
    <cellStyle name="Normal 3 4 6 2" xfId="273"/>
    <cellStyle name="Normal 3 4 7" xfId="209"/>
    <cellStyle name="Normal 3 4 8" xfId="370"/>
    <cellStyle name="Normal 3 5" xfId="53"/>
    <cellStyle name="Normal 3 5 2" xfId="69"/>
    <cellStyle name="Normal 3 5 2 2" xfId="101"/>
    <cellStyle name="Normal 3 5 2 2 2" xfId="197"/>
    <cellStyle name="Normal 3 5 2 2 2 2" xfId="357"/>
    <cellStyle name="Normal 3 5 2 2 3" xfId="261"/>
    <cellStyle name="Normal 3 5 2 3" xfId="165"/>
    <cellStyle name="Normal 3 5 2 3 2" xfId="325"/>
    <cellStyle name="Normal 3 5 2 4" xfId="133"/>
    <cellStyle name="Normal 3 5 2 4 2" xfId="293"/>
    <cellStyle name="Normal 3 5 2 5" xfId="229"/>
    <cellStyle name="Normal 3 5 3" xfId="85"/>
    <cellStyle name="Normal 3 5 3 2" xfId="181"/>
    <cellStyle name="Normal 3 5 3 2 2" xfId="341"/>
    <cellStyle name="Normal 3 5 3 3" xfId="245"/>
    <cellStyle name="Normal 3 5 4" xfId="149"/>
    <cellStyle name="Normal 3 5 4 2" xfId="309"/>
    <cellStyle name="Normal 3 5 5" xfId="117"/>
    <cellStyle name="Normal 3 5 5 2" xfId="277"/>
    <cellStyle name="Normal 3 5 6" xfId="213"/>
    <cellStyle name="Normal 3 5 7" xfId="374"/>
    <cellStyle name="Normal 3 6" xfId="61"/>
    <cellStyle name="Normal 3 6 2" xfId="93"/>
    <cellStyle name="Normal 3 6 2 2" xfId="189"/>
    <cellStyle name="Normal 3 6 2 2 2" xfId="349"/>
    <cellStyle name="Normal 3 6 2 3" xfId="253"/>
    <cellStyle name="Normal 3 6 3" xfId="157"/>
    <cellStyle name="Normal 3 6 3 2" xfId="317"/>
    <cellStyle name="Normal 3 6 4" xfId="125"/>
    <cellStyle name="Normal 3 6 4 2" xfId="285"/>
    <cellStyle name="Normal 3 6 5" xfId="221"/>
    <cellStyle name="Normal 3 7" xfId="77"/>
    <cellStyle name="Normal 3 7 2" xfId="173"/>
    <cellStyle name="Normal 3 7 2 2" xfId="333"/>
    <cellStyle name="Normal 3 7 3" xfId="237"/>
    <cellStyle name="Normal 3 8" xfId="141"/>
    <cellStyle name="Normal 3 8 2" xfId="301"/>
    <cellStyle name="Normal 3 9" xfId="109"/>
    <cellStyle name="Normal 3 9 2" xfId="269"/>
    <cellStyle name="Normal 4" xfId="42"/>
    <cellStyle name="Normal 5" xfId="425"/>
    <cellStyle name="Note" xfId="15" builtinId="10" customBuiltin="1"/>
    <cellStyle name="Output" xfId="10" builtinId="21" customBuiltin="1"/>
    <cellStyle name="Output 2" xfId="391"/>
    <cellStyle name="Title" xfId="1" builtinId="15" customBuiltin="1"/>
    <cellStyle name="Title 2" xfId="382"/>
    <cellStyle name="Total" xfId="17" builtinId="25" customBuiltin="1"/>
    <cellStyle name="Total 2" xfId="397"/>
    <cellStyle name="Warning Text" xfId="14" builtinId="11" customBuiltin="1"/>
    <cellStyle name="Warning Text 2" xfId="395"/>
  </cellStyles>
  <dxfs count="0"/>
  <tableStyles count="0" defaultTableStyle="TableStyleMedium9" defaultPivotStyle="PivotStyleLight16"/>
  <colors>
    <mruColors>
      <color rgb="FFFFFF99"/>
      <color rgb="FFCCFF99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1.xml"/><Relationship Id="rId7" Type="http://schemas.openxmlformats.org/officeDocument/2006/relationships/calcChain" Target="calcChain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800" b="1"/>
              <a:t> Relative PM6-ORG Binding Energy versus</a:t>
            </a:r>
            <a:r>
              <a:rPr lang="en-US" sz="1800" b="1" baseline="0"/>
              <a:t> </a:t>
            </a:r>
            <a:br>
              <a:rPr lang="en-US" sz="1800" b="1" baseline="0"/>
            </a:br>
            <a:r>
              <a:rPr lang="en-US" sz="1800" b="1" baseline="0"/>
              <a:t>Protease Assay  (08/06/2023)</a:t>
            </a:r>
            <a:endParaRPr lang="en-US" sz="1800" b="1"/>
          </a:p>
        </c:rich>
      </c:tx>
      <c:layout>
        <c:manualLayout>
          <c:xMode val="edge"/>
          <c:yMode val="edge"/>
          <c:x val="0.23504202943795041"/>
          <c:y val="4.1975308641973665E-2"/>
        </c:manualLayout>
      </c:layout>
      <c:spPr>
        <a:solidFill>
          <a:schemeClr val="bg1"/>
        </a:solidFill>
      </c:spPr>
    </c:title>
    <c:plotArea>
      <c:layout>
        <c:manualLayout>
          <c:layoutTarget val="inner"/>
          <c:xMode val="edge"/>
          <c:yMode val="edge"/>
          <c:x val="0.15934047891590644"/>
          <c:y val="0.16023702376240581"/>
          <c:w val="0.6844186987639761"/>
          <c:h val="0.77998969573249965"/>
        </c:manualLayout>
      </c:layout>
      <c:scatterChart>
        <c:scatterStyle val="lineMarker"/>
        <c:ser>
          <c:idx val="0"/>
          <c:order val="0"/>
          <c:tx>
            <c:strRef>
              <c:f>'Raw data'!#REF!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3"/>
            <c:spPr>
              <a:solidFill>
                <a:schemeClr val="tx1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showVal val="1"/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showVal val="1"/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Val val="1"/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Val val="1"/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Val val="1"/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Val val="1"/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Val val="1"/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Val val="1"/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Val val="1"/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11</a:t>
                    </a:r>
                  </a:p>
                </c:rich>
              </c:tx>
              <c:showVal val="1"/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showVal val="1"/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13</a:t>
                    </a:r>
                  </a:p>
                </c:rich>
              </c:tx>
              <c:showVal val="1"/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14</a:t>
                    </a:r>
                  </a:p>
                </c:rich>
              </c:tx>
              <c:showVal val="1"/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showVal val="1"/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16</a:t>
                    </a:r>
                  </a:p>
                </c:rich>
              </c:tx>
              <c:showVal val="1"/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17</a:t>
                    </a:r>
                  </a:p>
                </c:rich>
              </c:tx>
              <c:showVal val="1"/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18</a:t>
                    </a:r>
                  </a:p>
                </c:rich>
              </c:tx>
              <c:showVal val="1"/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19</a:t>
                    </a:r>
                  </a:p>
                </c:rich>
              </c:tx>
              <c:showVal val="1"/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20</a:t>
                    </a:r>
                  </a:p>
                </c:rich>
              </c:tx>
              <c:showVal val="1"/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21</a:t>
                    </a:r>
                  </a:p>
                </c:rich>
              </c:tx>
              <c:showVal val="1"/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22</a:t>
                    </a:r>
                  </a:p>
                </c:rich>
              </c:tx>
              <c:showVal val="1"/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23</a:t>
                    </a:r>
                  </a:p>
                </c:rich>
              </c:tx>
              <c:showVal val="1"/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24</a:t>
                    </a:r>
                  </a:p>
                </c:rich>
              </c:tx>
              <c:showVal val="1"/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25</a:t>
                    </a:r>
                  </a:p>
                </c:rich>
              </c:tx>
              <c:showVal val="1"/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26</a:t>
                    </a:r>
                  </a:p>
                </c:rich>
              </c:tx>
              <c:showVal val="1"/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27</a:t>
                    </a:r>
                  </a:p>
                </c:rich>
              </c:tx>
              <c:showVal val="1"/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28</a:t>
                    </a:r>
                  </a:p>
                </c:rich>
              </c:tx>
              <c:showVal val="1"/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29</a:t>
                    </a:r>
                  </a:p>
                </c:rich>
              </c:tx>
              <c:showVal val="1"/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30</a:t>
                    </a:r>
                  </a:p>
                </c:rich>
              </c:tx>
              <c:showVal val="1"/>
            </c:dLbl>
            <c:dLbl>
              <c:idx val="29"/>
              <c:tx>
                <c:rich>
                  <a:bodyPr/>
                  <a:lstStyle/>
                  <a:p>
                    <a:r>
                      <a:rPr lang="en-US"/>
                      <a:t>31</a:t>
                    </a:r>
                  </a:p>
                </c:rich>
              </c:tx>
              <c:showVal val="1"/>
            </c:dLbl>
            <c:dLbl>
              <c:idx val="30"/>
              <c:tx>
                <c:rich>
                  <a:bodyPr/>
                  <a:lstStyle/>
                  <a:p>
                    <a:r>
                      <a:rPr lang="en-US"/>
                      <a:t>32</a:t>
                    </a:r>
                  </a:p>
                </c:rich>
              </c:tx>
              <c:showVal val="1"/>
            </c:dLbl>
            <c:dLbl>
              <c:idx val="31"/>
              <c:tx>
                <c:rich>
                  <a:bodyPr/>
                  <a:lstStyle/>
                  <a:p>
                    <a:r>
                      <a:rPr lang="en-US"/>
                      <a:t>33</a:t>
                    </a:r>
                  </a:p>
                </c:rich>
              </c:tx>
              <c:showVal val="1"/>
            </c:dLbl>
            <c:dLbl>
              <c:idx val="32"/>
              <c:tx>
                <c:rich>
                  <a:bodyPr/>
                  <a:lstStyle/>
                  <a:p>
                    <a:r>
                      <a:rPr lang="en-US"/>
                      <a:t>34</a:t>
                    </a:r>
                  </a:p>
                </c:rich>
              </c:tx>
              <c:showVal val="1"/>
            </c:dLbl>
            <c:dLbl>
              <c:idx val="33"/>
              <c:tx>
                <c:rich>
                  <a:bodyPr/>
                  <a:lstStyle/>
                  <a:p>
                    <a:r>
                      <a:rPr lang="en-US"/>
                      <a:t>35</a:t>
                    </a:r>
                  </a:p>
                </c:rich>
              </c:tx>
              <c:showVal val="1"/>
            </c:dLbl>
            <c:delete val="1"/>
          </c:dLbls>
          <c:trendline>
            <c:trendlineType val="linear"/>
            <c:dispRSqr val="1"/>
            <c:dispEq val="1"/>
            <c:trendlineLbl>
              <c:layout>
                <c:manualLayout>
                  <c:x val="-0.40485991592413922"/>
                  <c:y val="-0.31023371904503483"/>
                </c:manualLayout>
              </c:layout>
              <c:numFmt formatCode="General" sourceLinked="0"/>
              <c:spPr>
                <a:solidFill>
                  <a:schemeClr val="bg1"/>
                </a:solidFill>
              </c:spPr>
            </c:trendlineLbl>
          </c:trendline>
          <c:xVal>
            <c:numRef>
              <c:f>'Raw data'!#REF!</c:f>
              <c:numCache>
                <c:formatCode>0.00</c:formatCode>
                <c:ptCount val="34"/>
                <c:pt idx="0">
                  <c:v>0.73200000000000065</c:v>
                </c:pt>
                <c:pt idx="1">
                  <c:v>0.9</c:v>
                </c:pt>
                <c:pt idx="2">
                  <c:v>1.2</c:v>
                </c:pt>
                <c:pt idx="3">
                  <c:v>9.3800000000000008</c:v>
                </c:pt>
                <c:pt idx="4">
                  <c:v>67.099999999999994</c:v>
                </c:pt>
                <c:pt idx="5">
                  <c:v>7.94</c:v>
                </c:pt>
                <c:pt idx="6">
                  <c:v>7.02</c:v>
                </c:pt>
                <c:pt idx="7">
                  <c:v>34.4</c:v>
                </c:pt>
                <c:pt idx="8">
                  <c:v>4.2699999999999996</c:v>
                </c:pt>
                <c:pt idx="9">
                  <c:v>40.700000000000003</c:v>
                </c:pt>
                <c:pt idx="10">
                  <c:v>47.5</c:v>
                </c:pt>
                <c:pt idx="11">
                  <c:v>14</c:v>
                </c:pt>
                <c:pt idx="12">
                  <c:v>23.7</c:v>
                </c:pt>
                <c:pt idx="13">
                  <c:v>58.4</c:v>
                </c:pt>
                <c:pt idx="14">
                  <c:v>72.5</c:v>
                </c:pt>
                <c:pt idx="15">
                  <c:v>0.35000000000000031</c:v>
                </c:pt>
                <c:pt idx="16">
                  <c:v>4.9700000000000024</c:v>
                </c:pt>
                <c:pt idx="17">
                  <c:v>1.85</c:v>
                </c:pt>
                <c:pt idx="18">
                  <c:v>30.5</c:v>
                </c:pt>
                <c:pt idx="19">
                  <c:v>1.83</c:v>
                </c:pt>
                <c:pt idx="20">
                  <c:v>4.8</c:v>
                </c:pt>
                <c:pt idx="21">
                  <c:v>1.71</c:v>
                </c:pt>
                <c:pt idx="22">
                  <c:v>52.6</c:v>
                </c:pt>
                <c:pt idx="23">
                  <c:v>29.5</c:v>
                </c:pt>
                <c:pt idx="24">
                  <c:v>35</c:v>
                </c:pt>
                <c:pt idx="25">
                  <c:v>92.1</c:v>
                </c:pt>
                <c:pt idx="26">
                  <c:v>4.7400000000000032E-2</c:v>
                </c:pt>
                <c:pt idx="27">
                  <c:v>12.1</c:v>
                </c:pt>
                <c:pt idx="28">
                  <c:v>5.7700000000000014</c:v>
                </c:pt>
                <c:pt idx="29">
                  <c:v>76</c:v>
                </c:pt>
                <c:pt idx="30">
                  <c:v>38</c:v>
                </c:pt>
                <c:pt idx="31">
                  <c:v>65.900000000000006</c:v>
                </c:pt>
                <c:pt idx="32">
                  <c:v>9</c:v>
                </c:pt>
                <c:pt idx="33">
                  <c:v>100</c:v>
                </c:pt>
              </c:numCache>
            </c:numRef>
          </c:xVal>
          <c:yVal>
            <c:numRef>
              <c:f>'Raw data'!#REF!</c:f>
              <c:numCache>
                <c:formatCode>0.00</c:formatCode>
                <c:ptCount val="34"/>
                <c:pt idx="0">
                  <c:v>1.2713000000003376</c:v>
                </c:pt>
                <c:pt idx="1">
                  <c:v>0.28501000000051135</c:v>
                </c:pt>
                <c:pt idx="2">
                  <c:v>0</c:v>
                </c:pt>
                <c:pt idx="3">
                  <c:v>1.8383599999997571</c:v>
                </c:pt>
                <c:pt idx="4">
                  <c:v>6.4093100000000094</c:v>
                </c:pt>
                <c:pt idx="5">
                  <c:v>3.3377000000000407</c:v>
                </c:pt>
                <c:pt idx="6">
                  <c:v>1.566899999999805</c:v>
                </c:pt>
                <c:pt idx="7">
                  <c:v>2.7788299999992767</c:v>
                </c:pt>
                <c:pt idx="8">
                  <c:v>1.9629999999997381</c:v>
                </c:pt>
                <c:pt idx="9">
                  <c:v>5.6146499999995294</c:v>
                </c:pt>
                <c:pt idx="10">
                  <c:v>4.058060000000296</c:v>
                </c:pt>
                <c:pt idx="11">
                  <c:v>2.0221400000000358</c:v>
                </c:pt>
                <c:pt idx="12">
                  <c:v>2.4848799999999747</c:v>
                </c:pt>
                <c:pt idx="13">
                  <c:v>4.8992200000002413</c:v>
                </c:pt>
                <c:pt idx="14">
                  <c:v>4.2863400000005933</c:v>
                </c:pt>
                <c:pt idx="15">
                  <c:v>1.1362899999994625</c:v>
                </c:pt>
                <c:pt idx="16">
                  <c:v>0.31775999999991639</c:v>
                </c:pt>
                <c:pt idx="17">
                  <c:v>0.81865000000016164</c:v>
                </c:pt>
                <c:pt idx="18">
                  <c:v>4.1714199999996824</c:v>
                </c:pt>
                <c:pt idx="19">
                  <c:v>1.0406199999997625</c:v>
                </c:pt>
                <c:pt idx="20">
                  <c:v>1.4846100000004299</c:v>
                </c:pt>
                <c:pt idx="21">
                  <c:v>0.48556000000007782</c:v>
                </c:pt>
                <c:pt idx="22">
                  <c:v>4.7451100000007465</c:v>
                </c:pt>
                <c:pt idx="23">
                  <c:v>0.70398999999997613</c:v>
                </c:pt>
                <c:pt idx="24">
                  <c:v>4.1308399999998073</c:v>
                </c:pt>
                <c:pt idx="25">
                  <c:v>7.0160699999997034</c:v>
                </c:pt>
                <c:pt idx="26">
                  <c:v>2.6670099999992067</c:v>
                </c:pt>
                <c:pt idx="27">
                  <c:v>3.9026199999997764</c:v>
                </c:pt>
                <c:pt idx="28">
                  <c:v>3.3197599999993552</c:v>
                </c:pt>
                <c:pt idx="29">
                  <c:v>5.10023000000092</c:v>
                </c:pt>
                <c:pt idx="30">
                  <c:v>3.7098699999996767</c:v>
                </c:pt>
                <c:pt idx="31">
                  <c:v>7.986880000000383</c:v>
                </c:pt>
                <c:pt idx="32">
                  <c:v>2.3653800000001866</c:v>
                </c:pt>
                <c:pt idx="33">
                  <c:v>6.1902200000004086</c:v>
                </c:pt>
              </c:numCache>
            </c:numRef>
          </c:yVal>
        </c:ser>
        <c:axId val="108503808"/>
        <c:axId val="108505344"/>
      </c:scatterChart>
      <c:valAx>
        <c:axId val="108503808"/>
        <c:scaling>
          <c:orientation val="minMax"/>
          <c:max val="100"/>
          <c:min val="0"/>
        </c:scaling>
        <c:axPos val="b"/>
        <c:majorGridlines/>
        <c:numFmt formatCode="0.0" sourceLinked="0"/>
        <c:tickLblPos val="nextTo"/>
        <c:crossAx val="108505344"/>
        <c:crosses val="autoZero"/>
        <c:crossBetween val="midCat"/>
        <c:majorUnit val="10"/>
      </c:valAx>
      <c:valAx>
        <c:axId val="108505344"/>
        <c:scaling>
          <c:orientation val="minMax"/>
          <c:max val="16"/>
        </c:scaling>
        <c:axPos val="l"/>
        <c:majorGridlines/>
        <c:numFmt formatCode="0.0" sourceLinked="0"/>
        <c:tickLblPos val="nextTo"/>
        <c:crossAx val="108503808"/>
        <c:crosses val="autoZero"/>
        <c:crossBetween val="midCat"/>
        <c:majorUnit val="2"/>
      </c:valAx>
    </c:plotArea>
    <c:plotVisOnly val="1"/>
  </c:chart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800" b="1"/>
              <a:t> Relative Binding Energy versus</a:t>
            </a:r>
            <a:r>
              <a:rPr lang="en-US" sz="1800" b="1" baseline="0"/>
              <a:t> Protease Assay </a:t>
            </a:r>
            <a:endParaRPr lang="en-US" sz="1800" b="1"/>
          </a:p>
        </c:rich>
      </c:tx>
      <c:layout>
        <c:manualLayout>
          <c:xMode val="edge"/>
          <c:yMode val="edge"/>
          <c:x val="0.24530010303120231"/>
          <c:y val="5.2078604855932818E-2"/>
        </c:manualLayout>
      </c:layout>
      <c:spPr>
        <a:solidFill>
          <a:schemeClr val="bg1"/>
        </a:solidFill>
      </c:spPr>
    </c:title>
    <c:plotArea>
      <c:layout>
        <c:manualLayout>
          <c:layoutTarget val="inner"/>
          <c:xMode val="edge"/>
          <c:yMode val="edge"/>
          <c:x val="0.10951539104257442"/>
          <c:y val="0.16023702376240587"/>
          <c:w val="0.83975596525718565"/>
          <c:h val="0.77998969573249965"/>
        </c:manualLayout>
      </c:layout>
      <c:scatterChart>
        <c:scatterStyle val="lineMarker"/>
        <c:ser>
          <c:idx val="0"/>
          <c:order val="0"/>
          <c:tx>
            <c:v>all</c:v>
          </c:tx>
          <c:spPr>
            <a:ln w="19050">
              <a:noFill/>
            </a:ln>
          </c:spPr>
          <c:marker>
            <c:symbol val="circle"/>
            <c:size val="3"/>
            <c:spPr>
              <a:solidFill>
                <a:schemeClr val="tx1"/>
              </a:solidFill>
              <a:ln>
                <a:noFill/>
              </a:ln>
            </c:spPr>
          </c:marker>
          <c:trendline>
            <c:trendlineType val="linear"/>
            <c:dispRSqr val="1"/>
            <c:dispEq val="1"/>
            <c:trendlineLbl>
              <c:layout>
                <c:manualLayout>
                  <c:x val="-0.24204012158812599"/>
                  <c:y val="-0.11612464294277838"/>
                </c:manualLayout>
              </c:layout>
              <c:numFmt formatCode="General" sourceLinked="0"/>
            </c:trendlineLbl>
          </c:trendline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'Data for 57'!#REF!</c:f>
            </c:numRef>
          </c:xVal>
          <c:yVal>
            <c:numRef>
              <c:f>'Data for 57'!#REF!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axId val="109035520"/>
        <c:axId val="109037440"/>
      </c:scatterChart>
      <c:valAx>
        <c:axId val="109035520"/>
        <c:scaling>
          <c:orientation val="minMax"/>
          <c:max val="100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IC50 </a:t>
                </a:r>
                <a:r>
                  <a:rPr lang="en-US" baseline="0">
                    <a:latin typeface="Symbol" pitchFamily="18" charset="2"/>
                  </a:rPr>
                  <a:t>m</a:t>
                </a:r>
                <a:r>
                  <a:rPr lang="en-US"/>
                  <a:t>M</a:t>
                </a:r>
              </a:p>
            </c:rich>
          </c:tx>
        </c:title>
        <c:numFmt formatCode="0.0" sourceLinked="0"/>
        <c:tickLblPos val="nextTo"/>
        <c:crossAx val="109037440"/>
        <c:crosses val="autoZero"/>
        <c:crossBetween val="midCat"/>
        <c:majorUnit val="10"/>
      </c:valAx>
      <c:valAx>
        <c:axId val="109037440"/>
        <c:scaling>
          <c:orientation val="minMax"/>
        </c:scaling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Energy</a:t>
                </a:r>
                <a:br>
                  <a:rPr lang="en-US"/>
                </a:br>
                <a:r>
                  <a:rPr lang="en-US"/>
                  <a:t>kcal</a:t>
                </a:r>
                <a:r>
                  <a:rPr lang="en-US" baseline="0"/>
                  <a:t> mol</a:t>
                </a:r>
                <a:r>
                  <a:rPr lang="en-US" baseline="30000"/>
                  <a:t>-1</a:t>
                </a:r>
              </a:p>
            </c:rich>
          </c:tx>
          <c:layout>
            <c:manualLayout>
              <c:xMode val="edge"/>
              <c:yMode val="edge"/>
              <c:x val="1.2018037210082681E-2"/>
              <c:y val="0.52253861818596059"/>
            </c:manualLayout>
          </c:layout>
        </c:title>
        <c:numFmt formatCode="0.0" sourceLinked="0"/>
        <c:tickLblPos val="nextTo"/>
        <c:crossAx val="109035520"/>
        <c:crosses val="autoZero"/>
        <c:crossBetween val="midCat"/>
        <c:majorUnit val="2"/>
      </c:valAx>
    </c:plotArea>
    <c:plotVisOnly val="1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40" workbookViewId="0"/>
  </sheetViews>
  <pageMargins left="0.7" right="0.7" top="0.75" bottom="0.75" header="0.3" footer="0.3"/>
  <pageSetup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3"/>
  <sheetViews>
    <sheetView zoomScale="130" workbookViewId="0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-25400" y="149680"/>
    <xdr:ext cx="8611507" cy="593362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0.37146</cdr:x>
      <cdr:y>0.27756</cdr:y>
    </cdr:from>
    <cdr:to>
      <cdr:x>0.52734</cdr:x>
      <cdr:y>0.36767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212612" y="1692519"/>
          <a:ext cx="1348153" cy="5495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6307" cy="628505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0.1174</cdr:x>
      <cdr:y>0.26109</cdr:y>
    </cdr:from>
    <cdr:to>
      <cdr:x>0.27328</cdr:x>
      <cdr:y>0.3512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017393" y="1640948"/>
          <a:ext cx="1350904" cy="5663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0.1174</cdr:x>
      <cdr:y>0.26109</cdr:y>
    </cdr:from>
    <cdr:to>
      <cdr:x>0.27328</cdr:x>
      <cdr:y>0.3512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1017393" y="1640948"/>
          <a:ext cx="1350904" cy="5663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>
  <dimension ref="A1:I42"/>
  <sheetViews>
    <sheetView tabSelected="1" zoomScale="110" zoomScaleNormal="110" workbookViewId="0">
      <selection activeCell="N15" sqref="N15"/>
    </sheetView>
  </sheetViews>
  <sheetFormatPr defaultRowHeight="18.75"/>
  <cols>
    <col min="1" max="1" width="10.42578125" style="5" bestFit="1" customWidth="1"/>
    <col min="2" max="2" width="16.5703125" style="2" customWidth="1"/>
    <col min="3" max="5" width="17.42578125" style="2" customWidth="1"/>
    <col min="6" max="6" width="19.42578125" style="2" customWidth="1"/>
    <col min="7" max="8" width="17.42578125" style="2" customWidth="1"/>
    <col min="9" max="9" width="15.42578125" style="2" customWidth="1"/>
    <col min="10" max="16384" width="9.140625" style="2"/>
  </cols>
  <sheetData>
    <row r="1" spans="1:9" ht="77.25" customHeight="1" thickBot="1">
      <c r="A1" s="1" t="s">
        <v>8</v>
      </c>
      <c r="B1" s="1" t="s">
        <v>1</v>
      </c>
      <c r="C1" s="1" t="s">
        <v>4</v>
      </c>
      <c r="D1" s="1" t="s">
        <v>15</v>
      </c>
      <c r="E1" s="1" t="s">
        <v>0</v>
      </c>
      <c r="F1" s="1" t="s">
        <v>16</v>
      </c>
      <c r="G1" s="1"/>
      <c r="H1" s="1" t="s">
        <v>3</v>
      </c>
      <c r="I1" s="1" t="s">
        <v>13</v>
      </c>
    </row>
    <row r="2" spans="1:9" s="9" customFormat="1">
      <c r="A2" s="11">
        <v>163</v>
      </c>
      <c r="B2" s="12" t="s">
        <v>2</v>
      </c>
      <c r="C2" s="6">
        <v>-6814.14815</v>
      </c>
      <c r="D2" s="7">
        <v>-6854.03989</v>
      </c>
      <c r="E2" s="13">
        <v>-6905.3942699999998</v>
      </c>
      <c r="F2" s="13">
        <v>-6926.2855300000001</v>
      </c>
      <c r="G2" s="12"/>
      <c r="H2" s="12">
        <f t="shared" ref="H2:H15" si="0">D2-C2 -(F2-E2)</f>
        <v>-19.000479999999698</v>
      </c>
      <c r="I2" s="12">
        <f t="shared" ref="I2:I15" si="1">H2*(D2-C2)/H$17</f>
        <v>-9.6495462454667926</v>
      </c>
    </row>
    <row r="3" spans="1:9" s="9" customFormat="1">
      <c r="A3" s="11">
        <v>166</v>
      </c>
      <c r="B3" s="12" t="s">
        <v>14</v>
      </c>
      <c r="C3" s="6">
        <v>-6814.14815</v>
      </c>
      <c r="D3" s="7">
        <v>-6854.03989</v>
      </c>
      <c r="E3" s="13">
        <v>-6595.5050600000004</v>
      </c>
      <c r="F3" s="13">
        <v>-6616.4415099999997</v>
      </c>
      <c r="G3" s="11"/>
      <c r="H3" s="12">
        <f t="shared" si="0"/>
        <v>-18.955290000000787</v>
      </c>
      <c r="I3" s="12">
        <f t="shared" si="1"/>
        <v>-9.6265961413208903</v>
      </c>
    </row>
    <row r="4" spans="1:9" s="9" customFormat="1">
      <c r="A4" s="11">
        <v>145</v>
      </c>
      <c r="B4" s="12" t="s">
        <v>11</v>
      </c>
      <c r="C4" s="6">
        <v>-6814.14815</v>
      </c>
      <c r="D4" s="7">
        <v>-6854.03989</v>
      </c>
      <c r="E4" s="13">
        <v>-6814.3450800000001</v>
      </c>
      <c r="F4" s="13">
        <v>-6844.2791699999998</v>
      </c>
      <c r="G4" s="12"/>
      <c r="H4" s="12">
        <f t="shared" si="0"/>
        <v>-9.9576500000002852</v>
      </c>
      <c r="I4" s="12">
        <f t="shared" si="1"/>
        <v>-5.0570724619155252</v>
      </c>
    </row>
    <row r="5" spans="1:9" s="10" customFormat="1">
      <c r="A5" s="11">
        <v>142</v>
      </c>
      <c r="B5" s="12" t="s">
        <v>5</v>
      </c>
      <c r="C5" s="6">
        <v>-6814.14815</v>
      </c>
      <c r="D5" s="7">
        <v>-6854.03989</v>
      </c>
      <c r="E5" s="13">
        <v>-6757.3743599999998</v>
      </c>
      <c r="F5" s="13">
        <v>-6790.3262999999997</v>
      </c>
      <c r="G5" s="12"/>
      <c r="H5" s="12">
        <f t="shared" si="0"/>
        <v>-6.9398000000001048</v>
      </c>
      <c r="I5" s="12">
        <f t="shared" si="1"/>
        <v>-3.5244331213891713</v>
      </c>
    </row>
    <row r="6" spans="1:9" s="9" customFormat="1">
      <c r="A6" s="11">
        <v>41</v>
      </c>
      <c r="B6" s="12" t="s">
        <v>10</v>
      </c>
      <c r="C6" s="6">
        <v>-6814.14815</v>
      </c>
      <c r="D6" s="7">
        <v>-6854.03989</v>
      </c>
      <c r="E6" s="13">
        <v>-6818.8798299999999</v>
      </c>
      <c r="F6" s="13">
        <v>-6852.3785200000002</v>
      </c>
      <c r="G6" s="12"/>
      <c r="H6" s="12">
        <f t="shared" si="0"/>
        <v>-6.3930499999996755</v>
      </c>
      <c r="I6" s="12">
        <f t="shared" si="1"/>
        <v>-3.2467617462600593</v>
      </c>
    </row>
    <row r="7" spans="1:9" s="10" customFormat="1">
      <c r="A7" s="11">
        <v>141</v>
      </c>
      <c r="B7" s="12" t="s">
        <v>19</v>
      </c>
      <c r="C7" s="6">
        <v>-6814.14815</v>
      </c>
      <c r="D7" s="7">
        <v>-6854.03989</v>
      </c>
      <c r="E7" s="13">
        <v>-6786.1793600000001</v>
      </c>
      <c r="F7" s="13">
        <v>-6822.4103599999999</v>
      </c>
      <c r="G7" s="12"/>
      <c r="H7" s="12">
        <f t="shared" si="0"/>
        <v>-3.6607400000002599</v>
      </c>
      <c r="I7" s="12">
        <f t="shared" si="1"/>
        <v>-1.8591361861717799</v>
      </c>
    </row>
    <row r="8" spans="1:9" s="9" customFormat="1">
      <c r="A8" s="11">
        <v>144</v>
      </c>
      <c r="B8" s="12" t="s">
        <v>6</v>
      </c>
      <c r="C8" s="6">
        <v>-6814.14815</v>
      </c>
      <c r="D8" s="7">
        <v>-6854.03989</v>
      </c>
      <c r="E8" s="13">
        <v>-6751.8512700000001</v>
      </c>
      <c r="F8" s="13">
        <v>-6788.1394399999999</v>
      </c>
      <c r="G8" s="12"/>
      <c r="H8" s="12">
        <f t="shared" si="0"/>
        <v>-3.603570000000218</v>
      </c>
      <c r="I8" s="12">
        <f t="shared" si="1"/>
        <v>-1.830101942886676</v>
      </c>
    </row>
    <row r="9" spans="1:9" s="9" customFormat="1">
      <c r="A9" s="11">
        <v>165</v>
      </c>
      <c r="B9" s="12" t="s">
        <v>12</v>
      </c>
      <c r="C9" s="6">
        <v>-6814.14815</v>
      </c>
      <c r="D9" s="7">
        <v>-6854.03989</v>
      </c>
      <c r="E9" s="13">
        <v>-6797.7338300000001</v>
      </c>
      <c r="F9" s="13">
        <v>-6834.4846900000002</v>
      </c>
      <c r="G9" s="12"/>
      <c r="H9" s="12">
        <f t="shared" si="0"/>
        <v>-3.1408799999999246</v>
      </c>
      <c r="I9" s="12">
        <f t="shared" si="1"/>
        <v>-1.595121113333005</v>
      </c>
    </row>
    <row r="10" spans="1:9" s="3" customFormat="1">
      <c r="A10" s="11">
        <v>140</v>
      </c>
      <c r="B10" s="12" t="s">
        <v>17</v>
      </c>
      <c r="C10" s="6">
        <v>-6814.14815</v>
      </c>
      <c r="D10" s="7">
        <v>-6854.03989</v>
      </c>
      <c r="E10" s="13">
        <v>-6812.9554600000001</v>
      </c>
      <c r="F10" s="13">
        <v>-6850.7939699999997</v>
      </c>
      <c r="G10" s="12"/>
      <c r="H10" s="12">
        <f t="shared" si="0"/>
        <v>-2.0532300000004398</v>
      </c>
      <c r="I10" s="12">
        <f t="shared" si="1"/>
        <v>-1.0427493325213018</v>
      </c>
    </row>
    <row r="11" spans="1:9" s="3" customFormat="1">
      <c r="A11" s="11">
        <v>25</v>
      </c>
      <c r="B11" s="12" t="s">
        <v>9</v>
      </c>
      <c r="C11" s="6">
        <v>-6814.14815</v>
      </c>
      <c r="D11" s="7">
        <v>-6854.03989</v>
      </c>
      <c r="E11" s="13">
        <v>-6747.6521700000003</v>
      </c>
      <c r="F11" s="13">
        <v>-6785.616</v>
      </c>
      <c r="G11" s="12"/>
      <c r="H11" s="12">
        <f t="shared" si="0"/>
        <v>-1.9279100000003382</v>
      </c>
      <c r="I11" s="12">
        <f t="shared" si="1"/>
        <v>-0.97910456483738539</v>
      </c>
    </row>
    <row r="12" spans="1:9" s="3" customFormat="1">
      <c r="A12" s="11">
        <v>1</v>
      </c>
      <c r="B12" s="12" t="s">
        <v>7</v>
      </c>
      <c r="C12" s="6">
        <v>-6814.14815</v>
      </c>
      <c r="D12" s="7">
        <v>-6854.03989</v>
      </c>
      <c r="E12" s="13">
        <v>-6693.4749700000002</v>
      </c>
      <c r="F12" s="13">
        <v>-6731.5498799999996</v>
      </c>
      <c r="G12" s="12"/>
      <c r="H12" s="12">
        <f t="shared" si="0"/>
        <v>-1.8168300000006639</v>
      </c>
      <c r="I12" s="12">
        <f t="shared" si="1"/>
        <v>-0.92269169542864815</v>
      </c>
    </row>
    <row r="13" spans="1:9" s="3" customFormat="1">
      <c r="A13" s="11">
        <v>189</v>
      </c>
      <c r="B13" s="12" t="s">
        <v>18</v>
      </c>
      <c r="C13" s="6">
        <v>-6814.14815</v>
      </c>
      <c r="D13" s="7">
        <v>-6854.03989</v>
      </c>
      <c r="E13" s="13">
        <v>-6739.8395399999999</v>
      </c>
      <c r="F13" s="13">
        <v>-6778.6257100000003</v>
      </c>
      <c r="G13" s="11"/>
      <c r="H13" s="12">
        <f t="shared" si="0"/>
        <v>-1.1055699999997159</v>
      </c>
      <c r="I13" s="12">
        <f t="shared" si="1"/>
        <v>-0.56147259661851445</v>
      </c>
    </row>
    <row r="14" spans="1:9" s="3" customFormat="1">
      <c r="A14" s="11">
        <v>187</v>
      </c>
      <c r="B14" s="12" t="s">
        <v>20</v>
      </c>
      <c r="C14" s="6">
        <v>-6814.14815</v>
      </c>
      <c r="D14" s="7">
        <v>-6854.03989</v>
      </c>
      <c r="E14" s="13">
        <v>-6549.5338199999997</v>
      </c>
      <c r="F14" s="13">
        <v>-6589.3100800000002</v>
      </c>
      <c r="G14" s="11"/>
      <c r="H14" s="12">
        <f t="shared" si="0"/>
        <v>-0.11547999999947933</v>
      </c>
      <c r="I14" s="12">
        <f t="shared" si="1"/>
        <v>-5.8647444718317579E-2</v>
      </c>
    </row>
    <row r="15" spans="1:9" s="3" customFormat="1">
      <c r="A15" s="11">
        <v>188</v>
      </c>
      <c r="B15" s="12" t="s">
        <v>21</v>
      </c>
      <c r="C15" s="6">
        <v>-6814.14815</v>
      </c>
      <c r="D15" s="7">
        <v>-6854.03989</v>
      </c>
      <c r="E15" s="13">
        <v>-6874.4997000000003</v>
      </c>
      <c r="F15" s="13">
        <v>-6914.5129200000001</v>
      </c>
      <c r="G15" s="11"/>
      <c r="H15" s="12">
        <f t="shared" si="0"/>
        <v>0.1214799999997922</v>
      </c>
      <c r="I15" s="12">
        <f t="shared" si="1"/>
        <v>6.1694592868039091E-2</v>
      </c>
    </row>
    <row r="16" spans="1:9" s="3" customFormat="1">
      <c r="A16" s="4"/>
      <c r="C16" s="8"/>
      <c r="D16" s="8"/>
      <c r="E16" s="8"/>
      <c r="F16" s="8"/>
    </row>
    <row r="17" spans="1:9" s="3" customFormat="1">
      <c r="A17" s="4"/>
      <c r="B17" s="3">
        <f>D15-C15</f>
        <v>-39.891740000000027</v>
      </c>
      <c r="H17" s="3">
        <f>SUM(H2:H15)</f>
        <v>-78.549000000001797</v>
      </c>
      <c r="I17" s="3">
        <f>SUM(I2:I15)</f>
        <v>-39.891740000000034</v>
      </c>
    </row>
    <row r="18" spans="1:9" s="3" customFormat="1">
      <c r="A18" s="4"/>
    </row>
    <row r="19" spans="1:9" s="3" customFormat="1">
      <c r="A19" s="4"/>
    </row>
    <row r="20" spans="1:9" s="3" customFormat="1">
      <c r="A20" s="4"/>
    </row>
    <row r="21" spans="1:9" s="3" customFormat="1">
      <c r="A21" s="4"/>
    </row>
    <row r="22" spans="1:9" s="3" customFormat="1">
      <c r="A22" s="4"/>
    </row>
    <row r="23" spans="1:9" s="3" customFormat="1">
      <c r="A23" s="4"/>
    </row>
    <row r="24" spans="1:9" s="3" customFormat="1">
      <c r="A24" s="4"/>
    </row>
    <row r="25" spans="1:9" s="3" customFormat="1">
      <c r="A25" s="4"/>
    </row>
    <row r="26" spans="1:9" s="3" customFormat="1">
      <c r="A26" s="4"/>
    </row>
    <row r="27" spans="1:9" s="3" customFormat="1">
      <c r="A27" s="4"/>
    </row>
    <row r="28" spans="1:9" s="3" customFormat="1">
      <c r="A28" s="4"/>
    </row>
    <row r="29" spans="1:9" s="3" customFormat="1">
      <c r="A29" s="4"/>
    </row>
    <row r="30" spans="1:9" s="3" customFormat="1">
      <c r="A30" s="4"/>
    </row>
    <row r="31" spans="1:9" s="3" customFormat="1">
      <c r="A31" s="4"/>
    </row>
    <row r="32" spans="1:9" s="3" customFormat="1">
      <c r="A32" s="4"/>
    </row>
    <row r="33" spans="1:1" s="3" customFormat="1">
      <c r="A33" s="4"/>
    </row>
    <row r="34" spans="1:1" s="3" customFormat="1">
      <c r="A34" s="4"/>
    </row>
    <row r="35" spans="1:1" s="3" customFormat="1">
      <c r="A35" s="4"/>
    </row>
    <row r="36" spans="1:1" s="3" customFormat="1">
      <c r="A36" s="4"/>
    </row>
    <row r="37" spans="1:1" s="3" customFormat="1">
      <c r="A37" s="4"/>
    </row>
    <row r="38" spans="1:1" s="3" customFormat="1">
      <c r="A38" s="4"/>
    </row>
    <row r="39" spans="1:1" s="3" customFormat="1">
      <c r="A39" s="4"/>
    </row>
    <row r="40" spans="1:1" s="3" customFormat="1">
      <c r="A40" s="4"/>
    </row>
    <row r="41" spans="1:1" s="3" customFormat="1">
      <c r="A41" s="4"/>
    </row>
    <row r="42" spans="1:1" s="3" customFormat="1">
      <c r="A42" s="4"/>
    </row>
  </sheetData>
  <sortState ref="A2:I15">
    <sortCondition ref="I2:I1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2</vt:i4>
      </vt:variant>
    </vt:vector>
  </HeadingPairs>
  <TitlesOfParts>
    <vt:vector size="3" baseType="lpstr">
      <vt:lpstr>Individual energies</vt:lpstr>
      <vt:lpstr>Plot Heat versus Assay</vt:lpstr>
      <vt:lpstr>Plot Energy versus IC50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jstewart</dc:creator>
  <cp:lastModifiedBy>Jimmy</cp:lastModifiedBy>
  <cp:lastPrinted>2023-10-20T21:15:13Z</cp:lastPrinted>
  <dcterms:created xsi:type="dcterms:W3CDTF">2022-12-06T12:02:31Z</dcterms:created>
  <dcterms:modified xsi:type="dcterms:W3CDTF">2025-06-12T16:19:46Z</dcterms:modified>
</cp:coreProperties>
</file>